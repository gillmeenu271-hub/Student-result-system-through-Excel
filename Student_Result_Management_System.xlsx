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xr:revisionPtr revIDLastSave="0" documentId="8_{4DAE4CD3-F944-2544-B226-BC3760BB6783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  <sheet name="Sheet2" sheetId="4" r:id="rId2"/>
  </sheets>
  <definedNames>
    <definedName name="_xlnm.Print_Area" localSheetId="0">Sheet1!$I$16:$I$16</definedName>
  </definedNames>
  <calcPr calcId="191028"/>
  <pivotCaches>
    <pivotCache cacheId="0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N7" i="1" l="1"/>
  <c r="E4" i="1"/>
  <c r="E5" i="1"/>
  <c r="E6" i="1"/>
  <c r="E7" i="1"/>
  <c r="E8" i="1"/>
  <c r="E9" i="1"/>
  <c r="E10" i="1"/>
  <c r="E11" i="1"/>
  <c r="E12" i="1"/>
  <c r="E3" i="1"/>
  <c r="F4" i="1"/>
  <c r="G4" i="1"/>
  <c r="D3" i="1"/>
  <c r="D4" i="1"/>
  <c r="D5" i="1"/>
  <c r="D6" i="1"/>
  <c r="D7" i="1"/>
  <c r="D8" i="1"/>
  <c r="D9" i="1"/>
  <c r="D10" i="1"/>
  <c r="D11" i="1"/>
  <c r="D12" i="1"/>
  <c r="F5" i="1"/>
  <c r="F6" i="1"/>
  <c r="F7" i="1"/>
  <c r="F8" i="1"/>
  <c r="F9" i="1"/>
  <c r="F10" i="1"/>
  <c r="F11" i="1"/>
  <c r="F12" i="1"/>
  <c r="F3" i="1"/>
  <c r="G12" i="1"/>
  <c r="H12" i="1"/>
  <c r="I12" i="1"/>
  <c r="J12" i="1"/>
  <c r="K12" i="1"/>
  <c r="G11" i="1"/>
  <c r="H11" i="1"/>
  <c r="I11" i="1"/>
  <c r="J11" i="1"/>
  <c r="K11" i="1"/>
  <c r="G5" i="1"/>
  <c r="G6" i="1"/>
  <c r="G7" i="1"/>
  <c r="G8" i="1"/>
  <c r="G9" i="1"/>
  <c r="G10" i="1"/>
  <c r="G3" i="1"/>
  <c r="H7" i="1"/>
  <c r="H3" i="1"/>
  <c r="I3" i="1"/>
  <c r="K3" i="1"/>
  <c r="H10" i="1"/>
  <c r="I10" i="1"/>
  <c r="J10" i="1"/>
  <c r="H9" i="1"/>
  <c r="I9" i="1"/>
  <c r="H8" i="1"/>
  <c r="I8" i="1"/>
  <c r="J8" i="1"/>
  <c r="I7" i="1"/>
  <c r="J7" i="1"/>
  <c r="H6" i="1"/>
  <c r="I6" i="1"/>
  <c r="J6" i="1"/>
  <c r="H5" i="1"/>
  <c r="I5" i="1"/>
  <c r="J5" i="1"/>
  <c r="H4" i="1"/>
  <c r="I4" i="1"/>
  <c r="J4" i="1"/>
  <c r="N4" i="1"/>
  <c r="N5" i="1"/>
  <c r="N6" i="1"/>
  <c r="J9" i="1"/>
  <c r="K9" i="1"/>
  <c r="J3" i="1"/>
  <c r="K4" i="1"/>
  <c r="K5" i="1"/>
  <c r="K6" i="1"/>
  <c r="K7" i="1"/>
  <c r="K8" i="1"/>
  <c r="K10" i="1"/>
  <c r="N8" i="1"/>
  <c r="N3" i="1"/>
  <c r="N9" i="1"/>
</calcChain>
</file>

<file path=xl/sharedStrings.xml><?xml version="1.0" encoding="utf-8"?>
<sst xmlns="http://schemas.openxmlformats.org/spreadsheetml/2006/main" count="39" uniqueCount="37">
  <si>
    <t>Student Result Management System</t>
  </si>
  <si>
    <t>Student_ID</t>
  </si>
  <si>
    <t>Student_Name</t>
  </si>
  <si>
    <t>English</t>
  </si>
  <si>
    <t>Hindi</t>
  </si>
  <si>
    <t>Math</t>
  </si>
  <si>
    <t>Science</t>
  </si>
  <si>
    <t>Total_Marks</t>
  </si>
  <si>
    <t>Percentage</t>
  </si>
  <si>
    <t>Grade</t>
  </si>
  <si>
    <t>Result</t>
  </si>
  <si>
    <t>Result Analysis</t>
  </si>
  <si>
    <t>Meenu Gupta</t>
  </si>
  <si>
    <t>Pass Percentage</t>
  </si>
  <si>
    <t>Ritika Sharma</t>
  </si>
  <si>
    <t>Highest Percentage</t>
  </si>
  <si>
    <t>Kiran Verma</t>
  </si>
  <si>
    <t>Lowest Percentage</t>
  </si>
  <si>
    <t>I</t>
  </si>
  <si>
    <t>Neha Singh</t>
  </si>
  <si>
    <t>Average Percentage</t>
  </si>
  <si>
    <t>Karan Singh</t>
  </si>
  <si>
    <t>Total Students</t>
  </si>
  <si>
    <t>Amit Kumar</t>
  </si>
  <si>
    <t>Total Passed</t>
  </si>
  <si>
    <t>Priya Verma</t>
  </si>
  <si>
    <t>Total Failed</t>
  </si>
  <si>
    <t>Shivam Sharma</t>
  </si>
  <si>
    <t>Pariyanka Rana</t>
  </si>
  <si>
    <t>Khushi Avasthie</t>
  </si>
  <si>
    <t xml:space="preserve"> </t>
  </si>
  <si>
    <t xml:space="preserve">  </t>
  </si>
  <si>
    <t>Students</t>
  </si>
  <si>
    <t>B</t>
  </si>
  <si>
    <t>C</t>
  </si>
  <si>
    <t>F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</si>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</sst>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b/>
      <sz val="11"/>
      <color theme="1"/>
      <name val="Calibri"/>
      <family val="2"/>
      <scheme val="minor"/>
    </font>
    <font>
      <b/>
      <sz val="11"/>
      <color rgb="FF3F3F3F"/>
      <name val="Calibri"/>
      <scheme val="minor"/>
    </font>
    <font>
      <b/>
      <sz val="11"/>
      <color theme="0"/>
      <name val="Calibri"/>
      <scheme val="minor"/>
    </font>
    <font>
      <b/>
      <sz val="16"/>
      <color theme="0"/>
      <name val="Calibri"/>
      <scheme val="minor"/>
    </font>
    <font>
      <sz val="14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7" tint="0.39997558519241921"/>
        <bgColor indexed="65"/>
      </patternFill>
    </fill>
    <fill>
      <patternFill patternType="solid">
        <fgColor rgb="FF92D050"/>
        <bgColor indexed="64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">
    <xf numFmtId="0" fontId="0" fillId="0" borderId="0"/>
    <xf numFmtId="0" fontId="3" fillId="2" borderId="7" applyNumberFormat="0" applyAlignment="0" applyProtection="0"/>
    <xf numFmtId="0" fontId="4" fillId="3" borderId="8" applyNumberFormat="0" applyAlignment="0" applyProtection="0"/>
    <xf numFmtId="0" fontId="1" fillId="4" borderId="0" applyNumberFormat="0" applyBorder="0" applyAlignment="0" applyProtection="0"/>
  </cellStyleXfs>
  <cellXfs count="19">
    <xf numFmtId="0" fontId="0" fillId="0" borderId="0" xfId="0"/>
    <xf numFmtId="0" fontId="0" fillId="0" borderId="0" xfId="0" applyNumberFormat="1"/>
    <xf numFmtId="0" fontId="0" fillId="0" borderId="0" xfId="0" pivotButton="1"/>
    <xf numFmtId="0" fontId="2" fillId="0" borderId="1" xfId="0" applyFont="1" applyBorder="1"/>
    <xf numFmtId="0" fontId="0" fillId="0" borderId="1" xfId="0" applyBorder="1"/>
    <xf numFmtId="0" fontId="0" fillId="0" borderId="0" xfId="0" applyBorder="1"/>
    <xf numFmtId="0" fontId="2" fillId="0" borderId="0" xfId="0" applyFont="1" applyBorder="1"/>
    <xf numFmtId="0" fontId="3" fillId="2" borderId="7" xfId="1" applyAlignment="1">
      <alignment horizontal="center"/>
    </xf>
    <xf numFmtId="0" fontId="1" fillId="4" borderId="3" xfId="3" applyBorder="1" applyAlignment="1">
      <alignment horizontal="center"/>
    </xf>
    <xf numFmtId="0" fontId="1" fillId="4" borderId="1" xfId="3" applyBorder="1" applyAlignment="1">
      <alignment horizontal="center"/>
    </xf>
    <xf numFmtId="2" fontId="1" fillId="4" borderId="1" xfId="3" applyNumberFormat="1" applyBorder="1" applyAlignment="1">
      <alignment horizontal="center"/>
    </xf>
    <xf numFmtId="0" fontId="1" fillId="4" borderId="5" xfId="3" applyBorder="1" applyAlignment="1">
      <alignment horizontal="center"/>
    </xf>
    <xf numFmtId="0" fontId="1" fillId="4" borderId="4" xfId="3" applyBorder="1" applyAlignment="1">
      <alignment horizontal="center"/>
    </xf>
    <xf numFmtId="0" fontId="1" fillId="4" borderId="2" xfId="3" applyBorder="1" applyAlignment="1">
      <alignment horizontal="center"/>
    </xf>
    <xf numFmtId="2" fontId="1" fillId="4" borderId="2" xfId="3" applyNumberFormat="1" applyBorder="1" applyAlignment="1">
      <alignment horizontal="center"/>
    </xf>
    <xf numFmtId="0" fontId="1" fillId="4" borderId="6" xfId="3" applyBorder="1" applyAlignment="1">
      <alignment horizontal="center"/>
    </xf>
    <xf numFmtId="2" fontId="0" fillId="0" borderId="0" xfId="0" applyNumberFormat="1"/>
    <xf numFmtId="2" fontId="5" fillId="3" borderId="8" xfId="2" applyNumberFormat="1" applyFont="1" applyAlignment="1">
      <alignment horizontal="center"/>
    </xf>
    <xf numFmtId="0" fontId="6" fillId="5" borderId="1" xfId="0" applyFont="1" applyFill="1" applyBorder="1" applyAlignment="1">
      <alignment horizontal="center"/>
    </xf>
  </cellXfs>
  <cellStyles count="4">
    <cellStyle name="60% - Accent4" xfId="3" builtinId="44"/>
    <cellStyle name="Check Cell" xfId="2" builtinId="23"/>
    <cellStyle name="Normal" xfId="0" builtinId="0"/>
    <cellStyle name="Output" xfId="1" builtinId="21"/>
  </cellStyles>
  <dxfs count="18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theme="7" tint="0.39997558519241921"/>
          <bgColor indexed="65"/>
        </patternFill>
      </fill>
      <alignment horizontal="center"/>
      <border>
        <left style="thin">
          <color rgb="FF000000"/>
        </left>
        <right/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ill>
        <patternFill patternType="solid">
          <fgColor theme="7" tint="0.39997558519241921"/>
          <bgColor indexed="65"/>
        </patternFill>
      </fill>
      <alignment horizont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numFmt numFmtId="2" formatCode="0.00"/>
      <fill>
        <patternFill patternType="solid">
          <fgColor theme="7" tint="0.39997558519241921"/>
          <bgColor indexed="65"/>
        </patternFill>
      </fill>
      <alignment horizont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ill>
        <patternFill patternType="solid">
          <fgColor theme="7" tint="0.39997558519241921"/>
          <bgColor indexed="65"/>
        </patternFill>
      </fill>
      <alignment horizont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ill>
        <patternFill patternType="solid">
          <fgColor theme="7" tint="0.39997558519241921"/>
          <bgColor indexed="65"/>
        </patternFill>
      </fill>
      <alignment horizont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numFmt numFmtId="0" formatCode="General"/>
      <fill>
        <patternFill patternType="solid">
          <fgColor theme="7" tint="0.39997558519241921"/>
          <bgColor indexed="65"/>
        </patternFill>
      </fill>
      <alignment horizont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numFmt numFmtId="0" formatCode="General"/>
      <fill>
        <patternFill patternType="solid">
          <fgColor theme="7" tint="0.39997558519241921"/>
          <bgColor indexed="65"/>
        </patternFill>
      </fill>
      <alignment horizont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numFmt numFmtId="0" formatCode="General"/>
      <fill>
        <patternFill patternType="solid">
          <fgColor theme="7" tint="0.39997558519241921"/>
          <bgColor indexed="65"/>
        </patternFill>
      </fill>
      <alignment horizont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ill>
        <patternFill patternType="solid">
          <fgColor theme="7" tint="0.39997558519241921"/>
          <bgColor indexed="65"/>
        </patternFill>
      </fill>
      <alignment horizont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ill>
        <patternFill patternType="solid">
          <fgColor theme="7" tint="0.39997558519241921"/>
          <bgColor indexed="65"/>
        </patternFill>
      </fill>
      <alignment horizontal="center"/>
      <border>
        <left/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top style="thin">
          <color rgb="FF000000"/>
        </top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solid">
          <fgColor theme="7" tint="0.39997558519241921"/>
          <bgColor indexed="65"/>
        </patternFill>
      </fill>
      <alignment horizontal="center"/>
    </dxf>
    <dxf>
      <border>
        <bottom style="thin">
          <color rgb="FF3F3F3F"/>
        </bottom>
      </border>
    </dxf>
    <dxf>
      <font>
        <b/>
        <i/>
        <color rgb="FF3F3F3F"/>
      </font>
      <fill>
        <patternFill patternType="solid">
          <fgColor rgb="FFF2F2F2"/>
          <bgColor indexed="65"/>
        </patternFill>
      </fill>
      <alignment horizontal="center" wrapText="0"/>
      <border diagonalUp="0" diagonalDown="0">
        <left/>
        <right/>
        <top/>
        <bottom/>
        <vertical/>
        <horizontal/>
      </border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 /><Relationship Id="rId7" Type="http://schemas.openxmlformats.org/officeDocument/2006/relationships/calcChain" Target="calcChain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sharedStrings" Target="sharedStrings.xml" /><Relationship Id="rId5" Type="http://schemas.openxmlformats.org/officeDocument/2006/relationships/styles" Target="styles.xml" /><Relationship Id="rId4" Type="http://schemas.openxmlformats.org/officeDocument/2006/relationships/theme" Target="theme/theme1.xml" 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 /><Relationship Id="rId1" Type="http://schemas.microsoft.com/office/2011/relationships/chartStyle" Target="style1.xml" 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[Student_Result_Management_System.xlsx]Sheet2!PivotTable4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Grade-wise Student Performance Analysis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Students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Sheet2!$A$4:$A$7</c:f>
              <c:strCache>
                <c:ptCount val="3"/>
                <c:pt idx="0">
                  <c:v>B</c:v>
                </c:pt>
                <c:pt idx="1">
                  <c:v>C</c:v>
                </c:pt>
                <c:pt idx="2">
                  <c:v>F</c:v>
                </c:pt>
              </c:strCache>
            </c:strRef>
          </c:cat>
          <c:val>
            <c:numRef>
              <c:f>Sheet2!$B$4:$B$7</c:f>
              <c:numCache>
                <c:formatCode>General</c:formatCode>
                <c:ptCount val="3"/>
                <c:pt idx="0">
                  <c:v>2</c:v>
                </c:pt>
                <c:pt idx="1">
                  <c:v>7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537-436A-AA98-06B6EA0F5087}"/>
            </c:ext>
          </c:extLst>
        </c:ser>
        <c:ser>
          <c:idx val="1"/>
          <c:order val="1"/>
          <c:tx>
            <c:strRef>
              <c:f>Sheet2!$C$3</c:f>
              <c:strCache>
                <c:ptCount val="1"/>
                <c:pt idx="0">
                  <c:v>Average Percentage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Sheet2!$A$4:$A$7</c:f>
              <c:strCache>
                <c:ptCount val="3"/>
                <c:pt idx="0">
                  <c:v>B</c:v>
                </c:pt>
                <c:pt idx="1">
                  <c:v>C</c:v>
                </c:pt>
                <c:pt idx="2">
                  <c:v>F</c:v>
                </c:pt>
              </c:strCache>
            </c:strRef>
          </c:cat>
          <c:val>
            <c:numRef>
              <c:f>Sheet2!$C$4:$C$7</c:f>
              <c:numCache>
                <c:formatCode>0.00</c:formatCode>
                <c:ptCount val="3"/>
                <c:pt idx="0">
                  <c:v>63.125</c:v>
                </c:pt>
                <c:pt idx="1">
                  <c:v>51.107142857142854</c:v>
                </c:pt>
                <c:pt idx="2">
                  <c:v>35.5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537-436A-AA98-06B6EA0F50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77970440"/>
        <c:axId val="477972488"/>
      </c:barChart>
      <c:catAx>
        <c:axId val="4779704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7972488"/>
        <c:crosses val="autoZero"/>
        <c:auto val="1"/>
        <c:lblAlgn val="ctr"/>
        <c:lblOffset val="100"/>
        <c:noMultiLvlLbl val="0"/>
      </c:catAx>
      <c:valAx>
        <c:axId val="4779724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79704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581025</xdr:colOff>
      <xdr:row>1</xdr:row>
      <xdr:rowOff>171450</xdr:rowOff>
    </xdr:from>
    <xdr:to>
      <xdr:col>11</xdr:col>
      <xdr:colOff>276225</xdr:colOff>
      <xdr:row>16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42FD92B-21E3-469C-0D03-B61D83A4A39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 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179.566038310186" createdVersion="8" refreshedVersion="8" minRefreshableVersion="3" recordCount="10" xr:uid="{E7E7ABDE-D060-4EC5-9480-E11F1926FD91}">
  <cacheSource type="worksheet">
    <worksheetSource name="Table1"/>
  </cacheSource>
  <cacheFields count="10">
    <cacheField name="Student_ID" numFmtId="0">
      <sharedItems containsSemiMixedTypes="0" containsString="0" containsNumber="1" containsInteger="1" minValue="101" maxValue="110"/>
    </cacheField>
    <cacheField name="Student_Name" numFmtId="0">
      <sharedItems/>
    </cacheField>
    <cacheField name="English" numFmtId="0">
      <sharedItems containsSemiMixedTypes="0" containsString="0" containsNumber="1" containsInteger="1" minValue="31" maxValue="73"/>
    </cacheField>
    <cacheField name="Hindi" numFmtId="0">
      <sharedItems containsSemiMixedTypes="0" containsString="0" containsNumber="1" containsInteger="1" minValue="26" maxValue="76"/>
    </cacheField>
    <cacheField name="Math" numFmtId="0">
      <sharedItems containsSemiMixedTypes="0" containsString="0" containsNumber="1" containsInteger="1" minValue="27" maxValue="54"/>
    </cacheField>
    <cacheField name="Science" numFmtId="0">
      <sharedItems containsSemiMixedTypes="0" containsString="0" containsNumber="1" containsInteger="1" minValue="23" maxValue="94"/>
    </cacheField>
    <cacheField name="Total_Marks" numFmtId="0">
      <sharedItems containsSemiMixedTypes="0" containsString="0" containsNumber="1" containsInteger="1" minValue="142" maxValue="255"/>
    </cacheField>
    <cacheField name="Percentage" numFmtId="2">
      <sharedItems containsSemiMixedTypes="0" containsString="0" containsNumber="1" minValue="35.5" maxValue="63.749999999999993"/>
    </cacheField>
    <cacheField name="Grade" numFmtId="0">
      <sharedItems count="3">
        <s v="C"/>
        <s v="F"/>
        <s v="B"/>
      </sharedItems>
    </cacheField>
    <cacheField name="Result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">
  <r>
    <n v="101"/>
    <s v="Meenu Gupta"/>
    <n v="31"/>
    <n v="41"/>
    <n v="32"/>
    <n v="71"/>
    <n v="175"/>
    <n v="43.75"/>
    <x v="0"/>
    <s v="Pass"/>
  </r>
  <r>
    <n v="102"/>
    <s v="Ritika Sharma"/>
    <n v="71"/>
    <n v="54"/>
    <n v="54"/>
    <n v="25"/>
    <n v="204"/>
    <n v="51"/>
    <x v="0"/>
    <s v="Pass"/>
  </r>
  <r>
    <n v="103"/>
    <s v="Kiran Verma"/>
    <n v="56"/>
    <n v="68"/>
    <n v="32"/>
    <n v="53"/>
    <n v="209"/>
    <n v="52.25"/>
    <x v="0"/>
    <s v="Pass"/>
  </r>
  <r>
    <n v="104"/>
    <s v="Neha Singh"/>
    <n v="61"/>
    <n v="26"/>
    <n v="32"/>
    <n v="23"/>
    <n v="142"/>
    <n v="35.5"/>
    <x v="1"/>
    <s v="Fail"/>
  </r>
  <r>
    <n v="105"/>
    <s v="Karan Singh"/>
    <n v="63"/>
    <n v="71"/>
    <n v="34"/>
    <n v="87"/>
    <n v="255"/>
    <n v="63.749999999999993"/>
    <x v="2"/>
    <s v="Pass"/>
  </r>
  <r>
    <n v="106"/>
    <s v="Amit Kumar"/>
    <n v="55"/>
    <n v="43"/>
    <n v="30"/>
    <n v="56"/>
    <n v="184"/>
    <n v="46"/>
    <x v="0"/>
    <s v="Pass"/>
  </r>
  <r>
    <n v="107"/>
    <s v="Priya Verma"/>
    <n v="48"/>
    <n v="71"/>
    <n v="32"/>
    <n v="62"/>
    <n v="213"/>
    <n v="53.25"/>
    <x v="0"/>
    <s v="Pass"/>
  </r>
  <r>
    <n v="108"/>
    <s v="Shivam Sharma"/>
    <n v="62"/>
    <n v="76"/>
    <n v="29"/>
    <n v="43"/>
    <n v="210"/>
    <n v="52.5"/>
    <x v="0"/>
    <s v="Pass"/>
  </r>
  <r>
    <n v="109"/>
    <s v="Pariyanka Rana"/>
    <n v="73"/>
    <n v="57"/>
    <n v="34"/>
    <n v="72"/>
    <n v="236"/>
    <n v="59"/>
    <x v="0"/>
    <s v="Pass"/>
  </r>
  <r>
    <n v="110"/>
    <s v="Khushi Avasthie"/>
    <n v="57"/>
    <n v="72"/>
    <n v="27"/>
    <n v="94"/>
    <n v="250"/>
    <n v="62.5"/>
    <x v="2"/>
    <s v="Pass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 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ACBC7B0-AD75-4EBE-B0FD-3CB588C8E552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3:C7" firstHeaderRow="0" firstDataRow="1" firstDataCol="1"/>
  <pivotFields count="10"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numFmtId="2" outline="0" showAll="0"/>
    <pivotField axis="axisRow" compact="0" outline="0" showAll="0">
      <items count="4">
        <item x="2"/>
        <item x="0"/>
        <item x="1"/>
        <item t="default"/>
      </items>
    </pivotField>
    <pivotField compact="0" outline="0" showAll="0"/>
  </pivotFields>
  <rowFields count="1">
    <field x="8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Students" fld="0" subtotal="count" baseField="0" baseItem="0"/>
    <dataField name="Average Percentage" fld="7" subtotal="average" baseField="0" baseItem="0" numFmtId="2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35AD838-8F3D-4ECE-9B95-3167B90D7EB6}" name="Table1" displayName="Table1" ref="B2:K12" totalsRowShown="0" headerRowDxfId="17" dataDxfId="15" headerRowBorderDxfId="16" tableBorderDxfId="14" totalsRowBorderDxfId="13">
  <autoFilter ref="B2:K12" xr:uid="{D35AD838-8F3D-4ECE-9B95-3167B90D7EB6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</autoFilter>
  <tableColumns count="10">
    <tableColumn id="1" xr3:uid="{CC8E4BA9-92B7-45B6-AC43-45AA6E0FF06D}" name="Student_ID" dataDxfId="12"/>
    <tableColumn id="2" xr3:uid="{BAC720F9-8DCA-4F1F-8AE9-EC0F20EC2978}" name="Student_Name" dataDxfId="11"/>
    <tableColumn id="3" xr3:uid="{E55B3AF3-0895-4A16-9DDA-821B29873B50}" name="English" dataDxfId="10">
      <calculatedColumnFormula>RANDBETWEEN(20,80)</calculatedColumnFormula>
    </tableColumn>
    <tableColumn id="4" xr3:uid="{F4C29C56-7185-4C59-9EA2-3A17D3036065}" name="Hindi" dataDxfId="9">
      <calculatedColumnFormula>RANDBETWEEN(20,80)</calculatedColumnFormula>
    </tableColumn>
    <tableColumn id="5" xr3:uid="{F3EC1D95-C41F-4DB1-BA0B-DC05EFBA6809}" name="Math" dataDxfId="8">
      <calculatedColumnFormula>RANDBETWEEN(20,40)</calculatedColumnFormula>
    </tableColumn>
    <tableColumn id="6" xr3:uid="{3552BFAC-3C67-478F-98D6-E05CFDF7899F}" name="Science" dataDxfId="7">
      <calculatedColumnFormula>RANDBETWEEN(20,100)</calculatedColumnFormula>
    </tableColumn>
    <tableColumn id="7" xr3:uid="{35821D4B-AFA3-46CB-AE32-3DCA6664AF23}" name="Total_Marks" dataDxfId="6">
      <calculatedColumnFormula>SUM(D3:G3)</calculatedColumnFormula>
    </tableColumn>
    <tableColumn id="8" xr3:uid="{2021813E-4E9E-4572-B206-4B168F3D478B}" name="Percentage" dataDxfId="5">
      <calculatedColumnFormula>H3/400*100</calculatedColumnFormula>
    </tableColumn>
    <tableColumn id="9" xr3:uid="{E2CFA5AB-3BBF-4F53-9408-4FEC1F44EF08}" name="Grade" dataDxfId="4">
      <calculatedColumnFormula>IF(I3&gt;=90,"A+",IF(I3&gt;=75,"A",IF(I3&gt;=60,"B",IF(I3&gt;=40,"C","F"))))</calculatedColumnFormula>
    </tableColumn>
    <tableColumn id="10" xr3:uid="{AFD24907-CBB0-4B7B-A939-145A503FD90D}" name="Result" dataDxfId="3">
      <calculatedColumnFormula>IF(I3&gt;=40,"Pass","Fail")</calculatedColumnFormula>
    </tableColumn>
  </tableColumns>
  <tableStyleInfo showFirstColumn="0" showLastColumn="0" showRowStripes="0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 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 /><Relationship Id="rId1" Type="http://schemas.openxmlformats.org/officeDocument/2006/relationships/pivotTable" Target="../pivotTables/pivotTable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U20"/>
  <sheetViews>
    <sheetView tabSelected="1" workbookViewId="0">
      <selection activeCell="D18" sqref="D18"/>
    </sheetView>
  </sheetViews>
  <sheetFormatPr defaultRowHeight="15" x14ac:dyDescent="0.2"/>
  <cols>
    <col min="1" max="1" width="10.76171875" bestFit="1" customWidth="1"/>
    <col min="2" max="2" width="18.6953125" bestFit="1" customWidth="1"/>
    <col min="3" max="3" width="16.54296875" bestFit="1" customWidth="1"/>
    <col min="4" max="4" width="9.4140625" bestFit="1" customWidth="1"/>
    <col min="5" max="5" width="8.7421875" customWidth="1"/>
    <col min="6" max="6" width="14.125" customWidth="1"/>
    <col min="7" max="7" width="13.85546875" bestFit="1" customWidth="1"/>
    <col min="8" max="8" width="18.29296875" bestFit="1" customWidth="1"/>
    <col min="9" max="9" width="13.1796875" bestFit="1" customWidth="1"/>
    <col min="10" max="10" width="14.125" bestFit="1" customWidth="1"/>
    <col min="11" max="11" width="18.6953125" bestFit="1" customWidth="1"/>
    <col min="12" max="12" width="12.10546875" customWidth="1"/>
    <col min="13" max="13" width="18.6953125" bestFit="1" customWidth="1"/>
    <col min="14" max="14" width="10.76171875" customWidth="1"/>
  </cols>
  <sheetData>
    <row r="1" spans="1:21" ht="21" x14ac:dyDescent="0.3">
      <c r="B1" s="17" t="s">
        <v>0</v>
      </c>
      <c r="C1" s="17"/>
      <c r="D1" s="17"/>
      <c r="E1" s="17"/>
      <c r="F1" s="17"/>
      <c r="G1" s="17"/>
      <c r="H1" s="17"/>
      <c r="I1" s="17"/>
      <c r="J1" s="17"/>
      <c r="K1" s="17"/>
    </row>
    <row r="2" spans="1:21" ht="18.75" x14ac:dyDescent="0.25">
      <c r="B2" s="7" t="s">
        <v>1</v>
      </c>
      <c r="C2" s="7" t="s">
        <v>2</v>
      </c>
      <c r="D2" s="7" t="s">
        <v>3</v>
      </c>
      <c r="E2" s="7" t="s">
        <v>4</v>
      </c>
      <c r="F2" s="7" t="s">
        <v>5</v>
      </c>
      <c r="G2" s="7" t="s">
        <v>6</v>
      </c>
      <c r="H2" s="7" t="s">
        <v>7</v>
      </c>
      <c r="I2" s="7" t="s">
        <v>8</v>
      </c>
      <c r="J2" s="7" t="s">
        <v>9</v>
      </c>
      <c r="K2" s="7" t="s">
        <v>10</v>
      </c>
      <c r="M2" s="18" t="s">
        <v>11</v>
      </c>
      <c r="N2" s="18"/>
    </row>
    <row r="3" spans="1:21" x14ac:dyDescent="0.2">
      <c r="B3" s="8">
        <v>101</v>
      </c>
      <c r="C3" s="9" t="s">
        <v>12</v>
      </c>
      <c r="D3" s="9">
        <f t="shared" ref="D3:G12" ca="1" si="0">RANDBETWEEN(20,80)</f>
        <v>32</v>
      </c>
      <c r="E3" s="9">
        <f t="shared" ref="E3:E12" ca="1" si="1">RANDBETWEEN(20,80)</f>
        <v>45</v>
      </c>
      <c r="F3" s="9">
        <f t="shared" ref="F3:F12" ca="1" si="2">RANDBETWEEN(20,40)</f>
        <v>20</v>
      </c>
      <c r="G3" s="9">
        <f t="shared" ref="E3:G10" ca="1" si="3">RANDBETWEEN(20,100)</f>
        <v>80</v>
      </c>
      <c r="H3" s="9">
        <f ca="1">SUM(D3:G3)</f>
        <v>177</v>
      </c>
      <c r="I3" s="10">
        <f ca="1">H3/400*100</f>
        <v>44.25</v>
      </c>
      <c r="J3" s="9" t="str">
        <f ca="1">IF(I3&gt;=90,"A+",IF(I3&gt;=75,"A",IF(I3&gt;=60,"B",IF(I3&gt;=40,"C","F"))))</f>
        <v>C</v>
      </c>
      <c r="K3" s="11" t="str">
        <f ca="1">IF(I3&gt;=40,"Pass","Fail")</f>
        <v>Pass</v>
      </c>
      <c r="M3" s="3" t="s">
        <v>13</v>
      </c>
      <c r="N3" s="4">
        <f ca="1">N8/N7*100</f>
        <v>80</v>
      </c>
    </row>
    <row r="4" spans="1:21" x14ac:dyDescent="0.2">
      <c r="B4" s="8">
        <v>102</v>
      </c>
      <c r="C4" s="9" t="s">
        <v>14</v>
      </c>
      <c r="D4" s="9">
        <f t="shared" ca="1" si="0"/>
        <v>51</v>
      </c>
      <c r="E4" s="9">
        <f ca="1">RANDBETWEEN(20,80)</f>
        <v>78</v>
      </c>
      <c r="F4" s="9">
        <f t="shared" ca="1" si="0"/>
        <v>53</v>
      </c>
      <c r="G4" s="9">
        <f t="shared" ca="1" si="0"/>
        <v>67</v>
      </c>
      <c r="H4" s="9">
        <f t="shared" ref="H4:H10" ca="1" si="4">SUM(D4:G4)</f>
        <v>249</v>
      </c>
      <c r="I4" s="10">
        <f t="shared" ref="I4:I10" ca="1" si="5">H4/400*100</f>
        <v>62.250000000000007</v>
      </c>
      <c r="J4" s="9" t="str">
        <f t="shared" ref="J4:J10" ca="1" si="6">IF(I4&gt;=90,"A+",IF(I4&gt;=75,"A",IF(I4&gt;=60,"B",IF(I4&gt;=40,"C","F"))))</f>
        <v>B</v>
      </c>
      <c r="K4" s="11" t="str">
        <f t="shared" ref="K4:K10" ca="1" si="7">IF(I4&gt;=40,"Pass","Fail")</f>
        <v>Pass</v>
      </c>
      <c r="M4" s="3" t="s">
        <v>15</v>
      </c>
      <c r="N4" s="4">
        <f ca="1">MAX(Table1[Percentage])</f>
        <v>62.250000000000007</v>
      </c>
    </row>
    <row r="5" spans="1:21" x14ac:dyDescent="0.2">
      <c r="B5" s="8">
        <v>103</v>
      </c>
      <c r="C5" s="9" t="s">
        <v>16</v>
      </c>
      <c r="D5" s="9">
        <f t="shared" ca="1" si="0"/>
        <v>60</v>
      </c>
      <c r="E5" s="9">
        <f t="shared" ca="1" si="1"/>
        <v>41</v>
      </c>
      <c r="F5" s="9">
        <f t="shared" ca="1" si="2"/>
        <v>25</v>
      </c>
      <c r="G5" s="9">
        <f t="shared" ca="1" si="3"/>
        <v>37</v>
      </c>
      <c r="H5" s="9">
        <f t="shared" ca="1" si="4"/>
        <v>163</v>
      </c>
      <c r="I5" s="10">
        <f t="shared" ca="1" si="5"/>
        <v>40.75</v>
      </c>
      <c r="J5" s="9" t="str">
        <f ca="1">IF(I5&gt;=90,"A+",IF(I5&gt;=75,"A",IF(I5&gt;=60,"B",IF(I5&gt;=40,"C","F"))))</f>
        <v>C</v>
      </c>
      <c r="K5" s="11" t="str">
        <f t="shared" ca="1" si="7"/>
        <v>Pass</v>
      </c>
      <c r="M5" s="3" t="s">
        <v>17</v>
      </c>
      <c r="N5" s="4">
        <f ca="1">MIN(Table1[Percentage])</f>
        <v>36.5</v>
      </c>
    </row>
    <row r="6" spans="1:21" x14ac:dyDescent="0.2">
      <c r="A6" t="s">
        <v>18</v>
      </c>
      <c r="B6" s="8">
        <v>104</v>
      </c>
      <c r="C6" s="9" t="s">
        <v>19</v>
      </c>
      <c r="D6" s="9">
        <f t="shared" ca="1" si="0"/>
        <v>29</v>
      </c>
      <c r="E6" s="9">
        <f t="shared" ca="1" si="1"/>
        <v>41</v>
      </c>
      <c r="F6" s="9">
        <f t="shared" ca="1" si="2"/>
        <v>23</v>
      </c>
      <c r="G6" s="9">
        <f t="shared" ca="1" si="3"/>
        <v>89</v>
      </c>
      <c r="H6" s="9">
        <f t="shared" ca="1" si="4"/>
        <v>182</v>
      </c>
      <c r="I6" s="10">
        <f t="shared" ca="1" si="5"/>
        <v>45.5</v>
      </c>
      <c r="J6" s="9" t="str">
        <f t="shared" ca="1" si="6"/>
        <v>C</v>
      </c>
      <c r="K6" s="11" t="str">
        <f t="shared" ca="1" si="7"/>
        <v>Pass</v>
      </c>
      <c r="M6" s="3" t="s">
        <v>20</v>
      </c>
      <c r="N6" s="4">
        <f ca="1">AVERAGE(Table1[Percentage])</f>
        <v>48.875</v>
      </c>
    </row>
    <row r="7" spans="1:21" x14ac:dyDescent="0.2">
      <c r="B7" s="8">
        <v>105</v>
      </c>
      <c r="C7" s="9" t="s">
        <v>21</v>
      </c>
      <c r="D7" s="9">
        <f t="shared" ca="1" si="0"/>
        <v>27</v>
      </c>
      <c r="E7" s="9">
        <f t="shared" ca="1" si="1"/>
        <v>40</v>
      </c>
      <c r="F7" s="9">
        <f t="shared" ca="1" si="2"/>
        <v>27</v>
      </c>
      <c r="G7" s="9">
        <f t="shared" ca="1" si="3"/>
        <v>58</v>
      </c>
      <c r="H7" s="9">
        <f ca="1">SUM(D7:G7)</f>
        <v>152</v>
      </c>
      <c r="I7" s="10">
        <f t="shared" ca="1" si="5"/>
        <v>38</v>
      </c>
      <c r="J7" s="9" t="str">
        <f t="shared" ca="1" si="6"/>
        <v>F</v>
      </c>
      <c r="K7" s="11" t="str">
        <f t="shared" ca="1" si="7"/>
        <v>Fail</v>
      </c>
      <c r="M7" s="3" t="s">
        <v>22</v>
      </c>
      <c r="N7" s="4">
        <f>COUNT(Table1[Student_ID])</f>
        <v>10</v>
      </c>
    </row>
    <row r="8" spans="1:21" x14ac:dyDescent="0.2">
      <c r="B8" s="8">
        <v>106</v>
      </c>
      <c r="C8" s="9" t="s">
        <v>23</v>
      </c>
      <c r="D8" s="9">
        <f t="shared" ca="1" si="0"/>
        <v>51</v>
      </c>
      <c r="E8" s="9">
        <f t="shared" ca="1" si="1"/>
        <v>71</v>
      </c>
      <c r="F8" s="9">
        <f t="shared" ca="1" si="2"/>
        <v>31</v>
      </c>
      <c r="G8" s="9">
        <f t="shared" ca="1" si="3"/>
        <v>86</v>
      </c>
      <c r="H8" s="9">
        <f t="shared" ca="1" si="4"/>
        <v>239</v>
      </c>
      <c r="I8" s="10">
        <f t="shared" ca="1" si="5"/>
        <v>59.75</v>
      </c>
      <c r="J8" s="9" t="str">
        <f t="shared" ca="1" si="6"/>
        <v>C</v>
      </c>
      <c r="K8" s="11" t="str">
        <f t="shared" ca="1" si="7"/>
        <v>Pass</v>
      </c>
      <c r="M8" s="3" t="s">
        <v>24</v>
      </c>
      <c r="N8" s="4">
        <f ca="1">COUNTIF(Table1[Result],"Pass")</f>
        <v>8</v>
      </c>
    </row>
    <row r="9" spans="1:21" x14ac:dyDescent="0.2">
      <c r="B9" s="8">
        <v>107</v>
      </c>
      <c r="C9" s="9" t="s">
        <v>25</v>
      </c>
      <c r="D9" s="9">
        <f t="shared" ca="1" si="0"/>
        <v>65</v>
      </c>
      <c r="E9" s="9">
        <f t="shared" ca="1" si="1"/>
        <v>54</v>
      </c>
      <c r="F9" s="9">
        <f t="shared" ca="1" si="2"/>
        <v>39</v>
      </c>
      <c r="G9" s="9">
        <f t="shared" ca="1" si="3"/>
        <v>57</v>
      </c>
      <c r="H9" s="9">
        <f t="shared" ca="1" si="4"/>
        <v>215</v>
      </c>
      <c r="I9" s="10">
        <f t="shared" ca="1" si="5"/>
        <v>53.75</v>
      </c>
      <c r="J9" s="9" t="str">
        <f t="shared" ca="1" si="6"/>
        <v>C</v>
      </c>
      <c r="K9" s="11" t="str">
        <f ca="1">IF(I9&gt;=40,"Pass","Fail")</f>
        <v>Pass</v>
      </c>
      <c r="M9" s="3" t="s">
        <v>26</v>
      </c>
      <c r="N9" s="4">
        <f ca="1">COUNTIF(Table1[Result],"Fail")</f>
        <v>2</v>
      </c>
    </row>
    <row r="10" spans="1:21" x14ac:dyDescent="0.2">
      <c r="B10" s="8">
        <v>108</v>
      </c>
      <c r="C10" s="9" t="s">
        <v>27</v>
      </c>
      <c r="D10" s="9">
        <f t="shared" ca="1" si="0"/>
        <v>43</v>
      </c>
      <c r="E10" s="9">
        <f t="shared" ca="1" si="1"/>
        <v>38</v>
      </c>
      <c r="F10" s="9">
        <f t="shared" ca="1" si="2"/>
        <v>40</v>
      </c>
      <c r="G10" s="9">
        <f t="shared" ca="1" si="3"/>
        <v>74</v>
      </c>
      <c r="H10" s="9">
        <f t="shared" ca="1" si="4"/>
        <v>195</v>
      </c>
      <c r="I10" s="10">
        <f t="shared" ca="1" si="5"/>
        <v>48.75</v>
      </c>
      <c r="J10" s="9" t="str">
        <f t="shared" ca="1" si="6"/>
        <v>C</v>
      </c>
      <c r="K10" s="11" t="str">
        <f t="shared" ca="1" si="7"/>
        <v>Pass</v>
      </c>
    </row>
    <row r="11" spans="1:21" x14ac:dyDescent="0.2">
      <c r="B11" s="8">
        <v>109</v>
      </c>
      <c r="C11" s="9" t="s">
        <v>28</v>
      </c>
      <c r="D11" s="9">
        <f t="shared" ca="1" si="0"/>
        <v>22</v>
      </c>
      <c r="E11" s="9">
        <f t="shared" ca="1" si="1"/>
        <v>58</v>
      </c>
      <c r="F11" s="9">
        <f t="shared" ca="1" si="2"/>
        <v>28</v>
      </c>
      <c r="G11" s="9">
        <f ca="1">RANDBETWEEN(20,100)</f>
        <v>38</v>
      </c>
      <c r="H11" s="9">
        <f ca="1">SUM(D11:G11)</f>
        <v>146</v>
      </c>
      <c r="I11" s="10">
        <f ca="1">H11/400*100</f>
        <v>36.5</v>
      </c>
      <c r="J11" s="9" t="str">
        <f ca="1">IF(I11&gt;=90,"A+",IF(I11&gt;=75,"A",IF(I11&gt;=60,"B",IF(I11&gt;=40,"C","F"))))</f>
        <v>F</v>
      </c>
      <c r="K11" s="11" t="str">
        <f ca="1">IF(I11&gt;=40,"Pass","Fail")</f>
        <v>Fail</v>
      </c>
    </row>
    <row r="12" spans="1:21" x14ac:dyDescent="0.2">
      <c r="B12" s="12">
        <v>110</v>
      </c>
      <c r="C12" s="13" t="s">
        <v>29</v>
      </c>
      <c r="D12" s="13">
        <f t="shared" ca="1" si="0"/>
        <v>64</v>
      </c>
      <c r="E12" s="9">
        <f t="shared" ca="1" si="1"/>
        <v>54</v>
      </c>
      <c r="F12" s="9">
        <f t="shared" ca="1" si="2"/>
        <v>30</v>
      </c>
      <c r="G12" s="13">
        <f ca="1">RANDBETWEEN(20,100)</f>
        <v>89</v>
      </c>
      <c r="H12" s="13">
        <f ca="1">SUM(D12:G12)</f>
        <v>237</v>
      </c>
      <c r="I12" s="14">
        <f ca="1">H12/400*100</f>
        <v>59.25</v>
      </c>
      <c r="J12" s="13" t="str">
        <f ca="1">IF(I12&gt;=90,"A+",IF(I12&gt;=75,"A",IF(I12&gt;=60,"B",IF(I12&gt;=40,"C","F"))))</f>
        <v>C</v>
      </c>
      <c r="K12" s="15" t="str">
        <f ca="1">IF(I12&gt;=40,"Pass","Fail")</f>
        <v>Pass</v>
      </c>
    </row>
    <row r="14" spans="1:21" x14ac:dyDescent="0.2">
      <c r="B14" s="5"/>
      <c r="C14" s="5"/>
    </row>
    <row r="15" spans="1:21" x14ac:dyDescent="0.2">
      <c r="B15" s="6"/>
      <c r="C15" s="5"/>
      <c r="G15" s="5"/>
      <c r="H15" s="6"/>
      <c r="I15" s="5"/>
      <c r="U15" t="s">
        <v>30</v>
      </c>
    </row>
    <row r="16" spans="1:21" x14ac:dyDescent="0.2">
      <c r="B16" s="6"/>
      <c r="C16" s="5"/>
      <c r="G16" s="5"/>
      <c r="H16" s="6"/>
      <c r="I16" s="5"/>
    </row>
    <row r="17" spans="2:9" x14ac:dyDescent="0.2">
      <c r="B17" s="6"/>
      <c r="C17" s="5"/>
      <c r="G17" s="5"/>
      <c r="H17" s="6"/>
      <c r="I17" s="5"/>
    </row>
    <row r="18" spans="2:9" x14ac:dyDescent="0.2">
      <c r="B18" s="6"/>
      <c r="C18" s="5"/>
      <c r="F18" t="s">
        <v>31</v>
      </c>
      <c r="G18" s="5"/>
      <c r="H18" s="6"/>
      <c r="I18" s="5"/>
    </row>
    <row r="19" spans="2:9" x14ac:dyDescent="0.2">
      <c r="G19" s="5"/>
      <c r="H19" s="5"/>
      <c r="I19" s="5"/>
    </row>
    <row r="20" spans="2:9" x14ac:dyDescent="0.2">
      <c r="B20" s="5"/>
      <c r="G20" s="5"/>
      <c r="H20" s="5"/>
      <c r="I20" s="5"/>
    </row>
  </sheetData>
  <mergeCells count="2">
    <mergeCell ref="B1:K1"/>
    <mergeCell ref="M2:N2"/>
  </mergeCells>
  <conditionalFormatting sqref="K3:K12">
    <cfRule type="containsText" dxfId="2" priority="1" operator="containsText" text="Fail">
      <formula>NOT(ISERROR(SEARCH("Fail",K3)))</formula>
    </cfRule>
    <cfRule type="containsText" dxfId="1" priority="2" operator="containsText" text="Pass">
      <formula>NOT(ISERROR(SEARCH("Pass",K3)))</formula>
    </cfRule>
    <cfRule type="cellIs" dxfId="0" priority="3" operator="greaterThan">
      <formula>$L$16</formula>
    </cfRule>
  </conditionalFormatting>
  <pageMargins left="0.25" right="0.25" top="0.75" bottom="0.75" header="0.3" footer="0.3"/>
  <pageSetup paperSize="6" orientation="landscape"/>
  <rowBreaks count="1" manualBreakCount="1">
    <brk id="7" max="16383" man="1"/>
  </rowBreaks>
  <colBreaks count="1" manualBreakCount="1">
    <brk id="13" max="1048575" man="1"/>
  </colBreaks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488B22-ED09-4066-AEBF-972BB0CFDC79}">
  <dimension ref="A3:C7"/>
  <sheetViews>
    <sheetView showGridLines="0" workbookViewId="0">
      <selection activeCell="C1" sqref="C1"/>
    </sheetView>
  </sheetViews>
  <sheetFormatPr defaultRowHeight="15" x14ac:dyDescent="0.2"/>
  <cols>
    <col min="1" max="1" width="11.43359375" bestFit="1" customWidth="1"/>
    <col min="2" max="2" width="18.96484375" bestFit="1" customWidth="1"/>
    <col min="3" max="3" width="20.984375" bestFit="1" customWidth="1"/>
  </cols>
  <sheetData>
    <row r="3" spans="1:3" x14ac:dyDescent="0.2">
      <c r="A3" s="2" t="s">
        <v>9</v>
      </c>
      <c r="B3" t="s">
        <v>32</v>
      </c>
      <c r="C3" t="s">
        <v>20</v>
      </c>
    </row>
    <row r="4" spans="1:3" x14ac:dyDescent="0.2">
      <c r="A4" t="s">
        <v>33</v>
      </c>
      <c r="B4" s="1">
        <v>2</v>
      </c>
      <c r="C4" s="16">
        <v>63.125</v>
      </c>
    </row>
    <row r="5" spans="1:3" x14ac:dyDescent="0.2">
      <c r="A5" t="s">
        <v>34</v>
      </c>
      <c r="B5" s="1">
        <v>7</v>
      </c>
      <c r="C5" s="16">
        <v>51.107142857142854</v>
      </c>
    </row>
    <row r="6" spans="1:3" x14ac:dyDescent="0.2">
      <c r="A6" t="s">
        <v>35</v>
      </c>
      <c r="B6" s="1">
        <v>1</v>
      </c>
      <c r="C6" s="16">
        <v>35.5</v>
      </c>
    </row>
    <row r="7" spans="1:3" x14ac:dyDescent="0.2">
      <c r="A7" t="s">
        <v>36</v>
      </c>
      <c r="B7" s="1">
        <v>10</v>
      </c>
      <c r="C7" s="16">
        <v>51.95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Meenu Gill</cp:lastModifiedBy>
  <cp:revision/>
  <dcterms:created xsi:type="dcterms:W3CDTF">2026-06-04T13:49:24Z</dcterms:created>
  <dcterms:modified xsi:type="dcterms:W3CDTF">2026-06-06T08:54:31Z</dcterms:modified>
  <cp:category/>
  <cp:contentStatus/>
</cp:coreProperties>
</file>